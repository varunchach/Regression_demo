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tej Raste\Downloads\Regression_Lectures\"/>
    </mc:Choice>
  </mc:AlternateContent>
  <xr:revisionPtr revIDLastSave="0" documentId="8_{83C20BB5-6913-4506-9E81-707462FD4BB5}" xr6:coauthVersionLast="47" xr6:coauthVersionMax="47" xr10:uidLastSave="{00000000-0000-0000-0000-000000000000}"/>
  <bookViews>
    <workbookView xWindow="-108" yWindow="-108" windowWidth="23256" windowHeight="12456" xr2:uid="{AE4E0A42-8B97-415B-AC84-C1CC56B053A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2" i="2" l="1"/>
  <c r="L29" i="2"/>
  <c r="L12" i="2"/>
  <c r="L10" i="2"/>
  <c r="S14" i="2"/>
  <c r="S15" i="2"/>
  <c r="S16" i="2"/>
  <c r="S13" i="2"/>
  <c r="S17" i="2" s="1"/>
  <c r="T17" i="2"/>
  <c r="P19" i="2"/>
  <c r="U14" i="2" s="1"/>
  <c r="N3" i="2"/>
  <c r="D20" i="2"/>
  <c r="E20" i="2" s="1"/>
  <c r="D19" i="2"/>
  <c r="E19" i="2" s="1"/>
  <c r="D18" i="2"/>
  <c r="E18" i="2" s="1"/>
  <c r="D17" i="2"/>
  <c r="E17" i="2" s="1"/>
  <c r="D16" i="2"/>
  <c r="E16" i="2" s="1"/>
  <c r="D31" i="2"/>
  <c r="E31" i="2" s="1"/>
  <c r="G31" i="2" s="1"/>
  <c r="D7" i="2"/>
  <c r="E7" i="2" s="1"/>
  <c r="F7" i="2" s="1"/>
  <c r="D6" i="2"/>
  <c r="E6" i="2" s="1"/>
  <c r="F6" i="2" s="1"/>
  <c r="D5" i="2"/>
  <c r="E5" i="2" s="1"/>
  <c r="F5" i="2" s="1"/>
  <c r="D4" i="2"/>
  <c r="E4" i="2" s="1"/>
  <c r="G4" i="2" s="1"/>
  <c r="D27" i="2"/>
  <c r="E27" i="2" s="1"/>
  <c r="G27" i="2" s="1"/>
  <c r="D28" i="2"/>
  <c r="E28" i="2" s="1"/>
  <c r="G28" i="2" s="1"/>
  <c r="D29" i="2"/>
  <c r="E29" i="2" s="1"/>
  <c r="D30" i="2"/>
  <c r="E30" i="2" s="1"/>
  <c r="G30" i="2" s="1"/>
  <c r="D26" i="2"/>
  <c r="E26" i="2" s="1"/>
  <c r="G18" i="1"/>
  <c r="G11" i="1"/>
  <c r="G2" i="1"/>
  <c r="U15" i="2" l="1"/>
  <c r="U13" i="2"/>
  <c r="U17" i="2" s="1"/>
  <c r="T19" i="2" s="1"/>
  <c r="T20" i="2" s="1"/>
  <c r="U16" i="2"/>
  <c r="I29" i="2"/>
  <c r="I19" i="2"/>
  <c r="G18" i="2"/>
  <c r="F18" i="2"/>
  <c r="G5" i="2"/>
  <c r="G6" i="2"/>
  <c r="G7" i="2"/>
  <c r="G17" i="2"/>
  <c r="F17" i="2"/>
  <c r="G19" i="2"/>
  <c r="F19" i="2"/>
  <c r="G16" i="2"/>
  <c r="F16" i="2"/>
  <c r="G20" i="2"/>
  <c r="F20" i="2"/>
  <c r="F30" i="2"/>
  <c r="I7" i="2"/>
  <c r="G26" i="2"/>
  <c r="F26" i="2"/>
  <c r="G29" i="2"/>
  <c r="F29" i="2"/>
  <c r="F31" i="2"/>
  <c r="F28" i="2"/>
  <c r="F27" i="2"/>
  <c r="F4" i="2"/>
  <c r="L7" i="2" l="1"/>
  <c r="L19" i="2"/>
  <c r="J19" i="2"/>
  <c r="J29" i="2"/>
  <c r="K19" i="2"/>
  <c r="K29" i="2"/>
  <c r="J7" i="2"/>
  <c r="K7" i="2" s="1"/>
</calcChain>
</file>

<file path=xl/sharedStrings.xml><?xml version="1.0" encoding="utf-8"?>
<sst xmlns="http://schemas.openxmlformats.org/spreadsheetml/2006/main" count="97" uniqueCount="60">
  <si>
    <t>X</t>
  </si>
  <si>
    <t>Actual Y</t>
  </si>
  <si>
    <t>Error = (Y - \hat{Y})</t>
  </si>
  <si>
    <t>Error²</t>
  </si>
  <si>
    <t>Cost = MSE = average(Error²)</t>
  </si>
  <si>
    <t>Predicted</t>
  </si>
  <si>
    <t>Error</t>
  </si>
  <si>
    <t>Obs</t>
  </si>
  <si>
    <t>Predicted Ŷ</t>
  </si>
  <si>
    <t>error</t>
  </si>
  <si>
    <t>Absolute_error</t>
  </si>
  <si>
    <t>error_square</t>
  </si>
  <si>
    <t>MAE</t>
  </si>
  <si>
    <t>MSE</t>
  </si>
  <si>
    <t>RMSE</t>
  </si>
  <si>
    <t xml:space="preserve">MAPE </t>
  </si>
  <si>
    <t>Percentage_error</t>
  </si>
  <si>
    <t>MAPE</t>
  </si>
  <si>
    <t>Best Case</t>
  </si>
  <si>
    <t xml:space="preserve">Mape Sensitive </t>
  </si>
  <si>
    <t xml:space="preserve">RMSE Sensitive </t>
  </si>
  <si>
    <t xml:space="preserve">MSE, RMSE Sensitive </t>
  </si>
  <si>
    <t>Case with Outliers</t>
  </si>
  <si>
    <t>Case with 0 value</t>
  </si>
  <si>
    <t>Y=10X+0</t>
  </si>
  <si>
    <t>Y= 15X+20</t>
  </si>
  <si>
    <t>Y=20X+10</t>
  </si>
  <si>
    <t>Predicted (Y_hat)</t>
  </si>
  <si>
    <t>Salary = m* Experience +C</t>
  </si>
  <si>
    <t>Salary = 2* Experience + 5</t>
  </si>
  <si>
    <t>2* 2+5</t>
  </si>
  <si>
    <t>2*4+5</t>
  </si>
  <si>
    <t>2*8+5</t>
  </si>
  <si>
    <t>Salary Predicted (Y^)</t>
  </si>
  <si>
    <t>Salary (Y)</t>
  </si>
  <si>
    <t>Experience (x)</t>
  </si>
  <si>
    <t>Y=mx+c</t>
  </si>
  <si>
    <t xml:space="preserve">Error </t>
  </si>
  <si>
    <t>20- 13</t>
  </si>
  <si>
    <t>30-21</t>
  </si>
  <si>
    <t>OLS , MLE</t>
  </si>
  <si>
    <t>Y_bar</t>
  </si>
  <si>
    <t>Numerator</t>
  </si>
  <si>
    <t>Denominator</t>
  </si>
  <si>
    <t>Y-Y_hat</t>
  </si>
  <si>
    <t>Y= m1x1+m2x2+m3x3+c</t>
  </si>
  <si>
    <t>p = 3+1=4</t>
  </si>
  <si>
    <t>p= 1+1</t>
  </si>
  <si>
    <t>p= No of parameters in LR Model</t>
  </si>
  <si>
    <t>p = 2</t>
  </si>
  <si>
    <t>p= 4</t>
  </si>
  <si>
    <t>Y= m1x1+m2x2+m3x3+m4x4+m5x5+c</t>
  </si>
  <si>
    <t>p=6</t>
  </si>
  <si>
    <t>Abs_(Y-Y_hat)</t>
  </si>
  <si>
    <t>Abs (Y actual- Ypred)</t>
  </si>
  <si>
    <t>Y_actual</t>
  </si>
  <si>
    <t>Numerator/Denominator</t>
  </si>
  <si>
    <t>Average(Numerator/Denominator)</t>
  </si>
  <si>
    <t>1/n * sum (Numerator /Denominator)</t>
  </si>
  <si>
    <t>y=MX+C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</si>
</sst>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wrapText="1"/>
    </xf>
    <xf numFmtId="0" fontId="5" fillId="0" borderId="0" xfId="0" applyFont="1"/>
    <xf numFmtId="2" fontId="0" fillId="0" borderId="0" xfId="0" applyNumberFormat="1" applyAlignment="1">
      <alignment horizontal="center"/>
    </xf>
    <xf numFmtId="9" fontId="0" fillId="0" borderId="0" xfId="1" applyFont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9" fontId="0" fillId="0" borderId="1" xfId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3AE00-3FCC-4D4B-A8AB-DB0995DECAEB}">
  <dimension ref="A1:I20"/>
  <sheetViews>
    <sheetView tabSelected="1" workbookViewId="0">
      <selection activeCell="G17" sqref="G17"/>
    </sheetView>
  </sheetViews>
  <sheetFormatPr defaultRowHeight="14.4" x14ac:dyDescent="0.3"/>
  <cols>
    <col min="3" max="3" width="22.5546875" customWidth="1"/>
    <col min="4" max="4" width="22" customWidth="1"/>
    <col min="7" max="7" width="24.5546875" customWidth="1"/>
    <col min="9" max="9" width="25" customWidth="1"/>
  </cols>
  <sheetData>
    <row r="1" spans="1:9" ht="28.8" x14ac:dyDescent="0.3">
      <c r="A1" s="2" t="s">
        <v>0</v>
      </c>
      <c r="B1" s="2" t="s">
        <v>1</v>
      </c>
      <c r="C1" s="2" t="s">
        <v>27</v>
      </c>
      <c r="D1" s="2" t="s">
        <v>2</v>
      </c>
      <c r="E1" s="2" t="s">
        <v>3</v>
      </c>
      <c r="G1" t="s">
        <v>4</v>
      </c>
    </row>
    <row r="2" spans="1:9" x14ac:dyDescent="0.3">
      <c r="A2" s="3">
        <v>2</v>
      </c>
      <c r="B2" s="3">
        <v>50</v>
      </c>
      <c r="C2" s="3">
        <v>20</v>
      </c>
      <c r="D2" s="3">
        <v>30</v>
      </c>
      <c r="E2" s="3">
        <v>900</v>
      </c>
      <c r="G2">
        <f>AVERAGE(E2:E4)</f>
        <v>900</v>
      </c>
      <c r="I2" t="s">
        <v>24</v>
      </c>
    </row>
    <row r="3" spans="1:9" x14ac:dyDescent="0.3">
      <c r="A3" s="3">
        <v>4</v>
      </c>
      <c r="B3" s="3">
        <v>70</v>
      </c>
      <c r="C3" s="3">
        <v>40</v>
      </c>
      <c r="D3" s="3">
        <v>30</v>
      </c>
      <c r="E3" s="3">
        <v>900</v>
      </c>
    </row>
    <row r="4" spans="1:9" x14ac:dyDescent="0.3">
      <c r="A4" s="3">
        <v>6</v>
      </c>
      <c r="B4" s="3">
        <v>90</v>
      </c>
      <c r="C4" s="3">
        <v>60</v>
      </c>
      <c r="D4" s="3">
        <v>30</v>
      </c>
      <c r="E4" s="3">
        <v>900</v>
      </c>
    </row>
    <row r="5" spans="1:9" x14ac:dyDescent="0.3">
      <c r="B5" t="s">
        <v>59</v>
      </c>
    </row>
    <row r="10" spans="1:9" ht="28.8" x14ac:dyDescent="0.3">
      <c r="A10" s="2" t="s">
        <v>0</v>
      </c>
      <c r="B10" s="2" t="s">
        <v>1</v>
      </c>
      <c r="C10" s="2" t="s">
        <v>5</v>
      </c>
      <c r="D10" s="2" t="s">
        <v>6</v>
      </c>
      <c r="E10" s="2" t="s">
        <v>3</v>
      </c>
      <c r="G10" t="s">
        <v>4</v>
      </c>
      <c r="I10" s="16" t="s">
        <v>25</v>
      </c>
    </row>
    <row r="11" spans="1:9" x14ac:dyDescent="0.3">
      <c r="A11" s="3">
        <v>2</v>
      </c>
      <c r="B11" s="3">
        <v>50</v>
      </c>
      <c r="C11" s="3">
        <v>50</v>
      </c>
      <c r="D11" s="3">
        <v>0</v>
      </c>
      <c r="E11" s="3">
        <v>0</v>
      </c>
      <c r="G11">
        <f>AVERAGE(E11:E13)</f>
        <v>166.66666666666666</v>
      </c>
    </row>
    <row r="12" spans="1:9" x14ac:dyDescent="0.3">
      <c r="A12" s="3">
        <v>4</v>
      </c>
      <c r="B12" s="3">
        <v>70</v>
      </c>
      <c r="C12" s="3">
        <v>80</v>
      </c>
      <c r="D12" s="3">
        <v>-10</v>
      </c>
      <c r="E12" s="3">
        <v>100</v>
      </c>
    </row>
    <row r="13" spans="1:9" x14ac:dyDescent="0.3">
      <c r="A13" s="3">
        <v>6</v>
      </c>
      <c r="B13" s="3">
        <v>90</v>
      </c>
      <c r="C13" s="3">
        <v>110</v>
      </c>
      <c r="D13" s="3">
        <v>-20</v>
      </c>
      <c r="E13" s="3">
        <v>400</v>
      </c>
    </row>
    <row r="17" spans="1:9" ht="28.8" x14ac:dyDescent="0.3">
      <c r="A17" s="2" t="s">
        <v>0</v>
      </c>
      <c r="B17" s="2" t="s">
        <v>1</v>
      </c>
      <c r="C17" s="2" t="s">
        <v>5</v>
      </c>
      <c r="D17" s="2" t="s">
        <v>6</v>
      </c>
      <c r="E17" s="2" t="s">
        <v>3</v>
      </c>
      <c r="G17" t="s">
        <v>4</v>
      </c>
      <c r="I17" t="s">
        <v>26</v>
      </c>
    </row>
    <row r="18" spans="1:9" x14ac:dyDescent="0.3">
      <c r="A18" s="3">
        <v>2</v>
      </c>
      <c r="B18" s="3">
        <v>50</v>
      </c>
      <c r="C18" s="3">
        <v>50</v>
      </c>
      <c r="D18" s="3">
        <v>0</v>
      </c>
      <c r="E18" s="3">
        <v>0</v>
      </c>
      <c r="G18">
        <f>AVERAGE(E18:E20)</f>
        <v>666.66666666666663</v>
      </c>
    </row>
    <row r="19" spans="1:9" x14ac:dyDescent="0.3">
      <c r="A19" s="3">
        <v>4</v>
      </c>
      <c r="B19" s="3">
        <v>70</v>
      </c>
      <c r="C19" s="3">
        <v>90</v>
      </c>
      <c r="D19" s="3">
        <v>-20</v>
      </c>
      <c r="E19" s="3">
        <v>400</v>
      </c>
    </row>
    <row r="20" spans="1:9" x14ac:dyDescent="0.3">
      <c r="A20" s="3">
        <v>6</v>
      </c>
      <c r="B20" s="3">
        <v>90</v>
      </c>
      <c r="C20" s="3">
        <v>130</v>
      </c>
      <c r="D20" s="3">
        <v>-40</v>
      </c>
      <c r="E20" s="3">
        <v>1600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654F5-7FE6-4CB5-9A08-7B3A2AC9E1A8}">
  <dimension ref="A1:U31"/>
  <sheetViews>
    <sheetView zoomScale="85" zoomScaleNormal="85" workbookViewId="0">
      <selection activeCell="E6" sqref="E6"/>
    </sheetView>
  </sheetViews>
  <sheetFormatPr defaultColWidth="13.88671875" defaultRowHeight="14.4" x14ac:dyDescent="0.3"/>
  <cols>
    <col min="1" max="1" width="27.109375" style="4" customWidth="1"/>
    <col min="2" max="6" width="13.88671875" style="4"/>
    <col min="7" max="7" width="22.6640625" style="4" customWidth="1"/>
    <col min="8" max="9" width="13.88671875" style="4"/>
    <col min="10" max="10" width="25" style="4" customWidth="1"/>
    <col min="11" max="11" width="31.77734375" style="4" customWidth="1"/>
    <col min="12" max="12" width="23.77734375" style="4" customWidth="1"/>
    <col min="13" max="16384" width="13.88671875" style="4"/>
  </cols>
  <sheetData>
    <row r="1" spans="1:21" x14ac:dyDescent="0.3">
      <c r="P1" s="4" t="s">
        <v>36</v>
      </c>
    </row>
    <row r="2" spans="1:21" x14ac:dyDescent="0.3">
      <c r="N2" s="4" t="s">
        <v>37</v>
      </c>
      <c r="O2" s="4" t="s">
        <v>33</v>
      </c>
      <c r="P2" s="4" t="s">
        <v>34</v>
      </c>
      <c r="Q2" s="4" t="s">
        <v>35</v>
      </c>
      <c r="T2" s="4" t="s">
        <v>28</v>
      </c>
    </row>
    <row r="3" spans="1:21" ht="28.8" x14ac:dyDescent="0.3">
      <c r="A3" s="5" t="s">
        <v>7</v>
      </c>
      <c r="B3" s="5" t="s">
        <v>1</v>
      </c>
      <c r="C3" s="5" t="s">
        <v>8</v>
      </c>
      <c r="D3" s="5" t="s">
        <v>9</v>
      </c>
      <c r="E3" s="5" t="s">
        <v>10</v>
      </c>
      <c r="F3" s="5" t="s">
        <v>11</v>
      </c>
      <c r="G3" s="5" t="s">
        <v>16</v>
      </c>
      <c r="N3" s="17">
        <f>INT(10-9)</f>
        <v>1</v>
      </c>
      <c r="O3" s="4" t="s">
        <v>30</v>
      </c>
      <c r="P3" s="4">
        <v>10</v>
      </c>
      <c r="Q3" s="4">
        <v>2</v>
      </c>
      <c r="R3" s="4" t="s">
        <v>29</v>
      </c>
      <c r="T3" s="4" t="s">
        <v>47</v>
      </c>
    </row>
    <row r="4" spans="1:21" x14ac:dyDescent="0.3">
      <c r="A4" s="6">
        <v>1</v>
      </c>
      <c r="B4" s="6">
        <v>100</v>
      </c>
      <c r="C4" s="6">
        <v>110</v>
      </c>
      <c r="D4" s="7">
        <f>B4-C4</f>
        <v>-10</v>
      </c>
      <c r="E4" s="7">
        <f>ABS(D4)</f>
        <v>10</v>
      </c>
      <c r="F4" s="7">
        <f>E4^2</f>
        <v>100</v>
      </c>
      <c r="G4" s="7">
        <f>E4/B4</f>
        <v>0.1</v>
      </c>
      <c r="I4" s="4" t="s">
        <v>18</v>
      </c>
      <c r="N4" s="4" t="s">
        <v>38</v>
      </c>
      <c r="O4" s="4" t="s">
        <v>31</v>
      </c>
      <c r="P4" s="4">
        <v>20</v>
      </c>
      <c r="Q4" s="4">
        <v>4</v>
      </c>
      <c r="R4" s="4" t="s">
        <v>40</v>
      </c>
    </row>
    <row r="5" spans="1:21" x14ac:dyDescent="0.3">
      <c r="A5" s="6">
        <v>2</v>
      </c>
      <c r="B5" s="6">
        <v>120</v>
      </c>
      <c r="C5" s="6">
        <v>130</v>
      </c>
      <c r="D5" s="7">
        <f t="shared" ref="D5:D7" si="0">B5-C5</f>
        <v>-10</v>
      </c>
      <c r="E5" s="7">
        <f t="shared" ref="E5:E7" si="1">ABS(D5)</f>
        <v>10</v>
      </c>
      <c r="F5" s="7">
        <f t="shared" ref="F5:F7" si="2">E5^2</f>
        <v>100</v>
      </c>
      <c r="G5" s="7">
        <f t="shared" ref="G5:G7" si="3">E5/B5</f>
        <v>8.3333333333333329E-2</v>
      </c>
      <c r="N5" s="4" t="s">
        <v>39</v>
      </c>
      <c r="O5" s="4" t="s">
        <v>32</v>
      </c>
      <c r="P5" s="4">
        <v>30</v>
      </c>
      <c r="Q5" s="4">
        <v>8</v>
      </c>
    </row>
    <row r="6" spans="1:21" x14ac:dyDescent="0.3">
      <c r="A6" s="6">
        <v>3</v>
      </c>
      <c r="B6" s="6">
        <v>130</v>
      </c>
      <c r="C6" s="6">
        <v>125</v>
      </c>
      <c r="D6" s="7">
        <f t="shared" si="0"/>
        <v>5</v>
      </c>
      <c r="E6" s="7">
        <f t="shared" si="1"/>
        <v>5</v>
      </c>
      <c r="F6" s="7">
        <f t="shared" si="2"/>
        <v>25</v>
      </c>
      <c r="G6" s="7">
        <f t="shared" si="3"/>
        <v>3.8461538461538464E-2</v>
      </c>
      <c r="I6" s="7" t="s">
        <v>12</v>
      </c>
      <c r="J6" s="7" t="s">
        <v>13</v>
      </c>
      <c r="K6" s="7" t="s">
        <v>14</v>
      </c>
      <c r="L6" s="7" t="s">
        <v>15</v>
      </c>
      <c r="M6" s="19"/>
      <c r="P6" s="4">
        <v>20</v>
      </c>
    </row>
    <row r="7" spans="1:21" x14ac:dyDescent="0.3">
      <c r="A7" s="6">
        <v>4</v>
      </c>
      <c r="B7" s="6">
        <v>140</v>
      </c>
      <c r="C7" s="6">
        <v>135</v>
      </c>
      <c r="D7" s="7">
        <f t="shared" si="0"/>
        <v>5</v>
      </c>
      <c r="E7" s="7">
        <f t="shared" si="1"/>
        <v>5</v>
      </c>
      <c r="F7" s="7">
        <f t="shared" si="2"/>
        <v>25</v>
      </c>
      <c r="G7" s="7">
        <f t="shared" si="3"/>
        <v>3.5714285714285712E-2</v>
      </c>
      <c r="I7" s="7">
        <f>SUM(E4:E7)/COUNT(E4:E7)</f>
        <v>7.5</v>
      </c>
      <c r="J7" s="7">
        <f>SUM(F4:F7)/COUNT(F4:F7)</f>
        <v>62.5</v>
      </c>
      <c r="K7" s="7">
        <f>SQRT(J7)</f>
        <v>7.9056941504209481</v>
      </c>
      <c r="L7" s="21">
        <f>SUM(G4:G7)/COUNT(G4:G7)</f>
        <v>6.4377289377289384E-2</v>
      </c>
      <c r="M7" s="19"/>
      <c r="R7" s="4" t="s">
        <v>48</v>
      </c>
    </row>
    <row r="8" spans="1:21" x14ac:dyDescent="0.3">
      <c r="A8" s="1"/>
      <c r="B8" s="1"/>
      <c r="C8" s="1"/>
      <c r="R8" s="4" t="s">
        <v>49</v>
      </c>
    </row>
    <row r="9" spans="1:21" x14ac:dyDescent="0.3">
      <c r="J9" s="4" t="s">
        <v>17</v>
      </c>
      <c r="R9" s="4" t="s">
        <v>50</v>
      </c>
    </row>
    <row r="10" spans="1:21" x14ac:dyDescent="0.3">
      <c r="I10" s="4">
        <v>1</v>
      </c>
      <c r="J10" s="4" t="s">
        <v>54</v>
      </c>
      <c r="K10" s="4" t="s">
        <v>42</v>
      </c>
      <c r="L10" s="4">
        <f xml:space="preserve"> 800</f>
        <v>800</v>
      </c>
      <c r="M10" s="4">
        <v>100</v>
      </c>
      <c r="P10" s="4" t="s">
        <v>45</v>
      </c>
      <c r="Q10" s="4" t="s">
        <v>46</v>
      </c>
    </row>
    <row r="11" spans="1:21" x14ac:dyDescent="0.3">
      <c r="I11" s="4">
        <v>2</v>
      </c>
      <c r="J11" s="4" t="s">
        <v>55</v>
      </c>
      <c r="K11" s="4" t="s">
        <v>43</v>
      </c>
      <c r="L11" s="4">
        <v>1000</v>
      </c>
      <c r="M11" s="4">
        <v>9.9999999999999995E-8</v>
      </c>
    </row>
    <row r="12" spans="1:21" x14ac:dyDescent="0.3">
      <c r="I12" s="4">
        <v>3</v>
      </c>
      <c r="K12" s="4" t="s">
        <v>56</v>
      </c>
      <c r="L12" s="4">
        <f>L10/L11</f>
        <v>0.8</v>
      </c>
      <c r="M12" s="4">
        <f>M10/M11</f>
        <v>1000000000</v>
      </c>
      <c r="P12" s="5" t="s">
        <v>1</v>
      </c>
      <c r="Q12" s="5" t="s">
        <v>8</v>
      </c>
      <c r="R12" s="4" t="s">
        <v>44</v>
      </c>
      <c r="S12" s="4" t="s">
        <v>53</v>
      </c>
      <c r="T12" s="4" t="s">
        <v>42</v>
      </c>
      <c r="U12" s="4" t="s">
        <v>43</v>
      </c>
    </row>
    <row r="13" spans="1:21" x14ac:dyDescent="0.3">
      <c r="A13" s="4" t="s">
        <v>22</v>
      </c>
      <c r="I13" s="4">
        <v>4</v>
      </c>
      <c r="K13" s="4" t="s">
        <v>57</v>
      </c>
      <c r="P13" s="6">
        <v>100</v>
      </c>
      <c r="Q13" s="6">
        <v>110</v>
      </c>
      <c r="R13" s="4">
        <v>-10</v>
      </c>
      <c r="S13" s="4">
        <f>ABS(R13)</f>
        <v>10</v>
      </c>
      <c r="T13" s="4">
        <v>100</v>
      </c>
      <c r="U13" s="4">
        <f>(P13-$P$19)^2</f>
        <v>506.25</v>
      </c>
    </row>
    <row r="14" spans="1:21" x14ac:dyDescent="0.3">
      <c r="P14" s="6">
        <v>120</v>
      </c>
      <c r="Q14" s="6">
        <v>130</v>
      </c>
      <c r="R14" s="4">
        <v>-10</v>
      </c>
      <c r="S14" s="4">
        <f t="shared" ref="S14:S16" si="4">ABS(R14)</f>
        <v>10</v>
      </c>
      <c r="T14" s="4">
        <v>100</v>
      </c>
      <c r="U14" s="4">
        <f t="shared" ref="U14:U16" si="5">(P14-$P$19)^2</f>
        <v>6.25</v>
      </c>
    </row>
    <row r="15" spans="1:21" ht="28.8" x14ac:dyDescent="0.3">
      <c r="A15" s="12" t="s">
        <v>7</v>
      </c>
      <c r="B15" s="12" t="s">
        <v>1</v>
      </c>
      <c r="C15" s="12" t="s">
        <v>8</v>
      </c>
      <c r="D15" s="12" t="s">
        <v>9</v>
      </c>
      <c r="E15" s="12" t="s">
        <v>10</v>
      </c>
      <c r="F15" s="12" t="s">
        <v>11</v>
      </c>
      <c r="G15" s="12" t="s">
        <v>16</v>
      </c>
      <c r="K15" s="4" t="s">
        <v>58</v>
      </c>
      <c r="P15" s="6">
        <v>130</v>
      </c>
      <c r="Q15" s="6">
        <v>125</v>
      </c>
      <c r="R15" s="4">
        <v>5</v>
      </c>
      <c r="S15" s="4">
        <f t="shared" si="4"/>
        <v>5</v>
      </c>
      <c r="T15" s="4">
        <v>25</v>
      </c>
      <c r="U15" s="4">
        <f t="shared" si="5"/>
        <v>56.25</v>
      </c>
    </row>
    <row r="16" spans="1:21" x14ac:dyDescent="0.3">
      <c r="A16" s="13">
        <v>1</v>
      </c>
      <c r="B16" s="13">
        <v>100</v>
      </c>
      <c r="C16" s="13">
        <v>110</v>
      </c>
      <c r="D16" s="7">
        <f>B16-C16</f>
        <v>-10</v>
      </c>
      <c r="E16" s="7">
        <f>ABS(D16)</f>
        <v>10</v>
      </c>
      <c r="F16" s="7">
        <f>E16^2</f>
        <v>100</v>
      </c>
      <c r="G16" s="7">
        <f>E16/B16</f>
        <v>0.1</v>
      </c>
      <c r="I16" s="4" t="s">
        <v>21</v>
      </c>
      <c r="P16" s="6">
        <v>140</v>
      </c>
      <c r="Q16" s="6">
        <v>135</v>
      </c>
      <c r="R16" s="4">
        <v>5</v>
      </c>
      <c r="S16" s="4">
        <f t="shared" si="4"/>
        <v>5</v>
      </c>
      <c r="T16" s="4">
        <v>25</v>
      </c>
      <c r="U16" s="4">
        <f t="shared" si="5"/>
        <v>306.25</v>
      </c>
    </row>
    <row r="17" spans="1:21" x14ac:dyDescent="0.3">
      <c r="A17" s="13">
        <v>2</v>
      </c>
      <c r="B17" s="13">
        <v>120</v>
      </c>
      <c r="C17" s="13">
        <v>130</v>
      </c>
      <c r="D17" s="7">
        <f t="shared" ref="D17:D20" si="6">B17-C17</f>
        <v>-10</v>
      </c>
      <c r="E17" s="7">
        <f t="shared" ref="E17:E20" si="7">ABS(D17)</f>
        <v>10</v>
      </c>
      <c r="F17" s="7">
        <f t="shared" ref="F17:F20" si="8">E17^2</f>
        <v>100</v>
      </c>
      <c r="G17" s="7">
        <f t="shared" ref="G17:G20" si="9">E17/B17</f>
        <v>8.3333333333333329E-2</v>
      </c>
      <c r="S17" s="4">
        <f>AVERAGE(S13:S16)</f>
        <v>7.5</v>
      </c>
      <c r="T17" s="4">
        <f>SUM(T13:T16)</f>
        <v>250</v>
      </c>
      <c r="U17" s="4">
        <f>SUM(U13:U16)</f>
        <v>875</v>
      </c>
    </row>
    <row r="18" spans="1:21" x14ac:dyDescent="0.3">
      <c r="A18" s="13">
        <v>3</v>
      </c>
      <c r="B18" s="13">
        <v>130</v>
      </c>
      <c r="C18" s="13">
        <v>125</v>
      </c>
      <c r="D18" s="7">
        <f t="shared" si="6"/>
        <v>5</v>
      </c>
      <c r="E18" s="7">
        <f t="shared" si="7"/>
        <v>5</v>
      </c>
      <c r="F18" s="7">
        <f t="shared" si="8"/>
        <v>25</v>
      </c>
      <c r="G18" s="7">
        <f t="shared" si="9"/>
        <v>3.8461538461538464E-2</v>
      </c>
      <c r="I18" s="7" t="s">
        <v>12</v>
      </c>
      <c r="J18" s="7" t="s">
        <v>13</v>
      </c>
      <c r="K18" s="7" t="s">
        <v>14</v>
      </c>
      <c r="L18" s="7" t="s">
        <v>17</v>
      </c>
      <c r="M18" s="19"/>
    </row>
    <row r="19" spans="1:21" x14ac:dyDescent="0.3">
      <c r="A19" s="13">
        <v>4</v>
      </c>
      <c r="B19" s="13">
        <v>140</v>
      </c>
      <c r="C19" s="13">
        <v>135</v>
      </c>
      <c r="D19" s="7">
        <f t="shared" si="6"/>
        <v>5</v>
      </c>
      <c r="E19" s="7">
        <f t="shared" si="7"/>
        <v>5</v>
      </c>
      <c r="F19" s="7">
        <f t="shared" si="8"/>
        <v>25</v>
      </c>
      <c r="G19" s="7">
        <f t="shared" si="9"/>
        <v>3.5714285714285712E-2</v>
      </c>
      <c r="I19" s="7">
        <f>SUM(E16:E20)/COUNT(E16:E20)</f>
        <v>166</v>
      </c>
      <c r="J19" s="11">
        <f>SUM(F16:F20)/COUNT(F16:F20)</f>
        <v>128050</v>
      </c>
      <c r="K19" s="11">
        <f>SQRT(J19)</f>
        <v>357.84074670165779</v>
      </c>
      <c r="L19" s="21">
        <f>SUM(G16:G20)/COUNT(G16:G20)</f>
        <v>0.21150183150183149</v>
      </c>
      <c r="M19" s="19"/>
      <c r="O19" s="4" t="s">
        <v>41</v>
      </c>
      <c r="P19" s="4">
        <f>AVERAGE(P13:P16)</f>
        <v>122.5</v>
      </c>
      <c r="T19" s="4">
        <f>T17/U17</f>
        <v>0.2857142857142857</v>
      </c>
    </row>
    <row r="20" spans="1:21" x14ac:dyDescent="0.3">
      <c r="A20" s="13">
        <v>5</v>
      </c>
      <c r="B20" s="15">
        <v>1000</v>
      </c>
      <c r="C20" s="12">
        <v>200</v>
      </c>
      <c r="D20" s="7">
        <f t="shared" si="6"/>
        <v>800</v>
      </c>
      <c r="E20" s="7">
        <f t="shared" si="7"/>
        <v>800</v>
      </c>
      <c r="F20" s="7">
        <f t="shared" si="8"/>
        <v>640000</v>
      </c>
      <c r="G20" s="7">
        <f t="shared" si="9"/>
        <v>0.8</v>
      </c>
      <c r="T20" s="18">
        <f>1-T19</f>
        <v>0.7142857142857143</v>
      </c>
    </row>
    <row r="21" spans="1:21" x14ac:dyDescent="0.3">
      <c r="A21" s="1"/>
      <c r="B21" s="1"/>
      <c r="C21" s="1"/>
    </row>
    <row r="22" spans="1:21" x14ac:dyDescent="0.3">
      <c r="P22" s="4" t="s">
        <v>51</v>
      </c>
      <c r="R22" s="4" t="s">
        <v>52</v>
      </c>
    </row>
    <row r="24" spans="1:21" x14ac:dyDescent="0.3">
      <c r="A24" s="4" t="s">
        <v>23</v>
      </c>
    </row>
    <row r="25" spans="1:21" ht="28.8" x14ac:dyDescent="0.3">
      <c r="A25" s="8" t="s">
        <v>7</v>
      </c>
      <c r="B25" s="8" t="s">
        <v>1</v>
      </c>
      <c r="C25" s="8" t="s">
        <v>8</v>
      </c>
      <c r="D25" s="8" t="s">
        <v>9</v>
      </c>
      <c r="E25" s="8" t="s">
        <v>10</v>
      </c>
      <c r="F25" s="8" t="s">
        <v>11</v>
      </c>
      <c r="G25" s="8" t="s">
        <v>16</v>
      </c>
    </row>
    <row r="26" spans="1:21" x14ac:dyDescent="0.3">
      <c r="A26" s="9">
        <v>1</v>
      </c>
      <c r="B26" s="9">
        <v>100</v>
      </c>
      <c r="C26" s="9">
        <v>110</v>
      </c>
      <c r="D26" s="10">
        <f>B26-C26</f>
        <v>-10</v>
      </c>
      <c r="E26" s="10">
        <f>ABS(D26)</f>
        <v>10</v>
      </c>
      <c r="F26" s="10">
        <f>E26^2</f>
        <v>100</v>
      </c>
      <c r="G26" s="10">
        <f>E26/B26</f>
        <v>0.1</v>
      </c>
      <c r="I26" s="4" t="s">
        <v>19</v>
      </c>
    </row>
    <row r="27" spans="1:21" x14ac:dyDescent="0.3">
      <c r="A27" s="9">
        <v>2</v>
      </c>
      <c r="B27" s="9">
        <v>120</v>
      </c>
      <c r="C27" s="9">
        <v>130</v>
      </c>
      <c r="D27" s="10">
        <f t="shared" ref="D27:D31" si="10">B27-C27</f>
        <v>-10</v>
      </c>
      <c r="E27" s="10">
        <f t="shared" ref="E27:E31" si="11">ABS(D27)</f>
        <v>10</v>
      </c>
      <c r="F27" s="10">
        <f t="shared" ref="F27:F31" si="12">E27^2</f>
        <v>100</v>
      </c>
      <c r="G27" s="10">
        <f t="shared" ref="G27:G31" si="13">E27/B27</f>
        <v>8.3333333333333329E-2</v>
      </c>
      <c r="I27" s="4" t="s">
        <v>20</v>
      </c>
    </row>
    <row r="28" spans="1:21" x14ac:dyDescent="0.3">
      <c r="A28" s="9">
        <v>3</v>
      </c>
      <c r="B28" s="9">
        <v>130</v>
      </c>
      <c r="C28" s="9">
        <v>125</v>
      </c>
      <c r="D28" s="10">
        <f t="shared" si="10"/>
        <v>5</v>
      </c>
      <c r="E28" s="10">
        <f t="shared" si="11"/>
        <v>5</v>
      </c>
      <c r="F28" s="10">
        <f t="shared" si="12"/>
        <v>25</v>
      </c>
      <c r="G28" s="10">
        <f t="shared" si="13"/>
        <v>3.8461538461538464E-2</v>
      </c>
      <c r="I28" s="7" t="s">
        <v>12</v>
      </c>
      <c r="J28" s="7" t="s">
        <v>13</v>
      </c>
      <c r="K28" s="7" t="s">
        <v>14</v>
      </c>
      <c r="L28" s="7" t="s">
        <v>17</v>
      </c>
      <c r="M28" s="19"/>
    </row>
    <row r="29" spans="1:21" x14ac:dyDescent="0.3">
      <c r="A29" s="9">
        <v>4</v>
      </c>
      <c r="B29" s="9">
        <v>140</v>
      </c>
      <c r="C29" s="9">
        <v>135</v>
      </c>
      <c r="D29" s="10">
        <f t="shared" si="10"/>
        <v>5</v>
      </c>
      <c r="E29" s="10">
        <f t="shared" si="11"/>
        <v>5</v>
      </c>
      <c r="F29" s="10">
        <f t="shared" si="12"/>
        <v>25</v>
      </c>
      <c r="G29" s="10">
        <f t="shared" si="13"/>
        <v>3.5714285714285712E-2</v>
      </c>
      <c r="I29" s="7">
        <f>SUM(E26:E31)/COUNT(E26:E31)</f>
        <v>154.99999999998332</v>
      </c>
      <c r="J29" s="7">
        <f>SUM(F26:F31)/COUNT(F26:F31)</f>
        <v>108374.99999999667</v>
      </c>
      <c r="K29" s="7">
        <f>SQRT(J29)</f>
        <v>329.2035844276254</v>
      </c>
      <c r="L29" s="22">
        <f>INT(SUM(G26:G31)/COUNT(G26:G31))</f>
        <v>166666666666</v>
      </c>
      <c r="M29" s="20"/>
    </row>
    <row r="30" spans="1:21" x14ac:dyDescent="0.3">
      <c r="A30" s="9">
        <v>5</v>
      </c>
      <c r="B30" s="8">
        <v>1000</v>
      </c>
      <c r="C30" s="8">
        <v>200</v>
      </c>
      <c r="D30" s="10">
        <f t="shared" si="10"/>
        <v>800</v>
      </c>
      <c r="E30" s="10">
        <f t="shared" si="11"/>
        <v>800</v>
      </c>
      <c r="F30" s="10">
        <f t="shared" si="12"/>
        <v>640000</v>
      </c>
      <c r="G30" s="10">
        <f t="shared" si="13"/>
        <v>0.8</v>
      </c>
    </row>
    <row r="31" spans="1:21" x14ac:dyDescent="0.3">
      <c r="A31" s="9">
        <v>6</v>
      </c>
      <c r="B31" s="14">
        <v>1E-10</v>
      </c>
      <c r="C31" s="9">
        <v>100</v>
      </c>
      <c r="D31" s="10">
        <f t="shared" si="10"/>
        <v>-99.999999999899998</v>
      </c>
      <c r="E31" s="10">
        <f t="shared" si="11"/>
        <v>99.999999999899998</v>
      </c>
      <c r="F31" s="10">
        <f t="shared" si="12"/>
        <v>9999.9999999800002</v>
      </c>
      <c r="G31" s="10">
        <f t="shared" si="13"/>
        <v>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satej raste</dc:creator>
  <cp:lastModifiedBy>satej raste</cp:lastModifiedBy>
  <dcterms:created xsi:type="dcterms:W3CDTF">2025-11-14T14:05:29Z</dcterms:created>
  <dcterms:modified xsi:type="dcterms:W3CDTF">2025-11-15T15:34:42Z</dcterms:modified>
</cp:coreProperties>
</file>